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older B\AI by Zafar Iqbal\AI Automation\Team Projects\Banking\For Submission\"/>
    </mc:Choice>
  </mc:AlternateContent>
  <xr:revisionPtr revIDLastSave="0" documentId="13_ncr:1_{2A4E3440-08CE-446D-8F70-F44F6B9F8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 Summary" sheetId="1" r:id="rId1"/>
    <sheet name="Development 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/>
  <c r="E34" i="1"/>
  <c r="D34" i="1"/>
  <c r="E33" i="1"/>
  <c r="E32" i="1"/>
  <c r="E31" i="1"/>
  <c r="E30" i="1"/>
  <c r="E24" i="1"/>
  <c r="E23" i="1"/>
  <c r="E22" i="1"/>
  <c r="E21" i="1"/>
  <c r="E17" i="1"/>
  <c r="E16" i="1"/>
  <c r="E15" i="1"/>
  <c r="E14" i="1"/>
  <c r="E8" i="1"/>
  <c r="E7" i="1"/>
  <c r="E6" i="1"/>
  <c r="E5" i="1"/>
  <c r="D25" i="1"/>
  <c r="D18" i="1"/>
  <c r="D27" i="1" s="1"/>
  <c r="D11" i="1"/>
  <c r="E11" i="1" s="1"/>
  <c r="G12" i="2"/>
  <c r="G11" i="2"/>
  <c r="G10" i="2"/>
  <c r="G9" i="2"/>
  <c r="F12" i="2"/>
  <c r="F9" i="2"/>
  <c r="D9" i="1"/>
  <c r="E9" i="1" l="1"/>
  <c r="E18" i="1"/>
  <c r="E25" i="1"/>
  <c r="E27" i="1" l="1"/>
</calcChain>
</file>

<file path=xl/sharedStrings.xml><?xml version="1.0" encoding="utf-8"?>
<sst xmlns="http://schemas.openxmlformats.org/spreadsheetml/2006/main" count="71" uniqueCount="64">
  <si>
    <t>$20 to $50</t>
  </si>
  <si>
    <t>Range per month</t>
  </si>
  <si>
    <t>Expenses</t>
  </si>
  <si>
    <t>Recurring Fee</t>
  </si>
  <si>
    <t>Hosting/Cloud/Domain Cost</t>
  </si>
  <si>
    <t>$2 to 10</t>
  </si>
  <si>
    <t>VPS</t>
  </si>
  <si>
    <t>Domain + SSL</t>
  </si>
  <si>
    <t>$6 to $12</t>
  </si>
  <si>
    <t>n8n Cloud</t>
  </si>
  <si>
    <t>Managed Email</t>
  </si>
  <si>
    <t>Development Cost</t>
  </si>
  <si>
    <t>For details please visit Sheet "Development Cost"</t>
  </si>
  <si>
    <t>Industry Standard Development Rates</t>
  </si>
  <si>
    <t>Skill</t>
  </si>
  <si>
    <t>Hourly Rate</t>
  </si>
  <si>
    <t>Automation/n8n Engineer</t>
  </si>
  <si>
    <t>$20 – $40/hr</t>
  </si>
  <si>
    <t>API Integration Specialist</t>
  </si>
  <si>
    <t>$25 – $50/hr</t>
  </si>
  <si>
    <t>QA &amp; Testing</t>
  </si>
  <si>
    <t>$10 – $20/hr</t>
  </si>
  <si>
    <t>Expected Expense Per Hour</t>
  </si>
  <si>
    <t>Task</t>
  </si>
  <si>
    <t>Hours</t>
  </si>
  <si>
    <t>Workflow architecture</t>
  </si>
  <si>
    <t>10–12</t>
  </si>
  <si>
    <t>Node development &amp; testing</t>
  </si>
  <si>
    <t>20–25</t>
  </si>
  <si>
    <t>Email templates &amp; automation</t>
  </si>
  <si>
    <t>8–10</t>
  </si>
  <si>
    <t>Google Sheets data pipelines</t>
  </si>
  <si>
    <t>Debugging &amp; QA</t>
  </si>
  <si>
    <t>Documentation + Deployment</t>
  </si>
  <si>
    <t>6–8</t>
  </si>
  <si>
    <t>Estimated Hours</t>
  </si>
  <si>
    <t>Expense</t>
  </si>
  <si>
    <r>
      <t>$1200 to $3000 (</t>
    </r>
    <r>
      <rPr>
        <b/>
        <sz val="11"/>
        <color theme="1"/>
        <rFont val="Calibri"/>
        <family val="2"/>
        <scheme val="minor"/>
      </rPr>
      <t>One Time</t>
    </r>
    <r>
      <rPr>
        <sz val="11"/>
        <color theme="1"/>
        <rFont val="Calibri"/>
        <family val="2"/>
        <scheme val="minor"/>
      </rPr>
      <t>)</t>
    </r>
  </si>
  <si>
    <t>Workflow Monitoring</t>
  </si>
  <si>
    <t>Bug Fixing</t>
  </si>
  <si>
    <t>Updating Sheets/API tokens</t>
  </si>
  <si>
    <t>Client Support</t>
  </si>
  <si>
    <t>$30 – $60</t>
  </si>
  <si>
    <t>$20 – $50</t>
  </si>
  <si>
    <t>$10 – $20</t>
  </si>
  <si>
    <t xml:space="preserve">Total </t>
  </si>
  <si>
    <t>Marketing Overhead</t>
  </si>
  <si>
    <t>Ads (Meta + Google)</t>
  </si>
  <si>
    <t>$50 – $150</t>
  </si>
  <si>
    <t>Content creation</t>
  </si>
  <si>
    <t>$30 – $100</t>
  </si>
  <si>
    <t>Website maintenance</t>
  </si>
  <si>
    <t>SEO tools</t>
  </si>
  <si>
    <t>Scenario A (Monthly Cost)</t>
  </si>
  <si>
    <t>Scenario B (Annual Cost)</t>
  </si>
  <si>
    <t>Maintenance Cost</t>
  </si>
  <si>
    <t>n8n SCF workflow setup</t>
  </si>
  <si>
    <t>$300 – $2000</t>
  </si>
  <si>
    <t>Maintenance</t>
  </si>
  <si>
    <t>$100 – $500</t>
  </si>
  <si>
    <t>Custom APIs</t>
  </si>
  <si>
    <t>Email Automation</t>
  </si>
  <si>
    <t>$200 – $200</t>
  </si>
  <si>
    <r>
      <t xml:space="preserve">Net Profit </t>
    </r>
    <r>
      <rPr>
        <sz val="11"/>
        <color theme="1"/>
        <rFont val="Calibri"/>
        <family val="2"/>
        <scheme val="minor"/>
      </rPr>
      <t>(Recurring fee - expenses)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</si>
</sst>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0" xfId="0" applyFill="1"/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8" xfId="0" applyBorder="1"/>
    <xf numFmtId="164" fontId="1" fillId="0" borderId="0" xfId="0" applyNumberFormat="1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/>
    <xf numFmtId="164" fontId="1" fillId="0" borderId="0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164" fontId="0" fillId="0" borderId="8" xfId="0" applyNumberFormat="1" applyBorder="1"/>
    <xf numFmtId="164" fontId="1" fillId="2" borderId="12" xfId="0" applyNumberFormat="1" applyFont="1" applyFill="1" applyBorder="1"/>
    <xf numFmtId="164" fontId="1" fillId="2" borderId="4" xfId="0" applyNumberFormat="1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36"/>
  <sheetViews>
    <sheetView tabSelected="1" workbookViewId="0">
      <selection activeCell="B3" sqref="B3"/>
    </sheetView>
  </sheetViews>
  <sheetFormatPr defaultRowHeight="14.4" x14ac:dyDescent="0.3"/>
  <cols>
    <col min="2" max="2" width="29.88671875" bestFit="1" customWidth="1"/>
    <col min="3" max="3" width="23.5546875" bestFit="1" customWidth="1"/>
    <col min="4" max="4" width="22.5546875" style="1" bestFit="1" customWidth="1"/>
    <col min="5" max="5" width="21" style="1" bestFit="1" customWidth="1"/>
    <col min="6" max="6" width="41.5546875" bestFit="1" customWidth="1"/>
  </cols>
  <sheetData>
    <row r="3" spans="2:6" x14ac:dyDescent="0.3">
      <c r="C3" s="6" t="s">
        <v>1</v>
      </c>
      <c r="D3" s="7" t="s">
        <v>53</v>
      </c>
      <c r="E3" s="7" t="s">
        <v>54</v>
      </c>
      <c r="F3" s="1"/>
    </row>
    <row r="4" spans="2:6" x14ac:dyDescent="0.3">
      <c r="B4" s="6" t="s">
        <v>4</v>
      </c>
      <c r="C4" s="2"/>
      <c r="D4" s="3"/>
      <c r="E4" s="3"/>
    </row>
    <row r="5" spans="2:6" x14ac:dyDescent="0.3">
      <c r="B5" s="2" t="s">
        <v>7</v>
      </c>
      <c r="C5" s="2" t="s">
        <v>5</v>
      </c>
      <c r="D5" s="3">
        <v>3</v>
      </c>
      <c r="E5" s="3">
        <f>D5*12</f>
        <v>36</v>
      </c>
    </row>
    <row r="6" spans="2:6" x14ac:dyDescent="0.3">
      <c r="B6" s="2" t="s">
        <v>6</v>
      </c>
      <c r="C6" s="2" t="s">
        <v>8</v>
      </c>
      <c r="D6" s="3">
        <v>9</v>
      </c>
      <c r="E6" s="3">
        <f t="shared" ref="E6:E8" si="0">D6*12</f>
        <v>108</v>
      </c>
    </row>
    <row r="7" spans="2:6" x14ac:dyDescent="0.3">
      <c r="B7" s="2" t="s">
        <v>9</v>
      </c>
      <c r="C7" s="2" t="s">
        <v>0</v>
      </c>
      <c r="D7" s="3">
        <v>20</v>
      </c>
      <c r="E7" s="3">
        <f t="shared" si="0"/>
        <v>240</v>
      </c>
    </row>
    <row r="8" spans="2:6" x14ac:dyDescent="0.3">
      <c r="B8" s="2" t="s">
        <v>10</v>
      </c>
      <c r="C8" s="2" t="s">
        <v>0</v>
      </c>
      <c r="D8" s="3">
        <v>25</v>
      </c>
      <c r="E8" s="3">
        <f t="shared" si="0"/>
        <v>300</v>
      </c>
    </row>
    <row r="9" spans="2:6" x14ac:dyDescent="0.3">
      <c r="B9" s="6" t="s">
        <v>45</v>
      </c>
      <c r="C9" s="2"/>
      <c r="D9" s="7">
        <f>SUM(D5:D8)</f>
        <v>57</v>
      </c>
      <c r="E9" s="7">
        <f>SUM(E5:E8)</f>
        <v>684</v>
      </c>
    </row>
    <row r="10" spans="2:6" x14ac:dyDescent="0.3">
      <c r="B10" s="20"/>
      <c r="C10" s="21"/>
      <c r="D10" s="21"/>
      <c r="E10" s="22"/>
    </row>
    <row r="11" spans="2:6" x14ac:dyDescent="0.3">
      <c r="B11" s="10" t="s">
        <v>11</v>
      </c>
      <c r="C11" s="2" t="s">
        <v>37</v>
      </c>
      <c r="D11" s="7">
        <f>'Development Cost'!G12</f>
        <v>1560</v>
      </c>
      <c r="E11" s="7">
        <f>D11</f>
        <v>1560</v>
      </c>
      <c r="F11" s="11" t="s">
        <v>12</v>
      </c>
    </row>
    <row r="12" spans="2:6" x14ac:dyDescent="0.3">
      <c r="B12" s="17"/>
      <c r="C12" s="18"/>
      <c r="D12" s="19"/>
      <c r="E12" s="9"/>
    </row>
    <row r="13" spans="2:6" x14ac:dyDescent="0.3">
      <c r="B13" s="10" t="s">
        <v>55</v>
      </c>
      <c r="C13" s="2"/>
      <c r="D13" s="7"/>
      <c r="E13" s="7"/>
    </row>
    <row r="14" spans="2:6" x14ac:dyDescent="0.3">
      <c r="B14" s="2" t="s">
        <v>38</v>
      </c>
      <c r="C14" s="2" t="s">
        <v>42</v>
      </c>
      <c r="D14" s="3">
        <v>60</v>
      </c>
      <c r="E14" s="3">
        <f>D14*12</f>
        <v>720</v>
      </c>
    </row>
    <row r="15" spans="2:6" x14ac:dyDescent="0.3">
      <c r="B15" s="2" t="s">
        <v>39</v>
      </c>
      <c r="C15" s="2" t="s">
        <v>43</v>
      </c>
      <c r="D15" s="3">
        <v>50</v>
      </c>
      <c r="E15" s="3">
        <f t="shared" ref="E15:E17" si="1">D15*12</f>
        <v>600</v>
      </c>
    </row>
    <row r="16" spans="2:6" x14ac:dyDescent="0.3">
      <c r="B16" s="2" t="s">
        <v>40</v>
      </c>
      <c r="C16" s="2" t="s">
        <v>44</v>
      </c>
      <c r="D16" s="3">
        <v>20</v>
      </c>
      <c r="E16" s="3">
        <f t="shared" si="1"/>
        <v>240</v>
      </c>
    </row>
    <row r="17" spans="2:5" x14ac:dyDescent="0.3">
      <c r="B17" s="2" t="s">
        <v>41</v>
      </c>
      <c r="C17" s="2" t="s">
        <v>42</v>
      </c>
      <c r="D17" s="3">
        <v>60</v>
      </c>
      <c r="E17" s="3">
        <f t="shared" si="1"/>
        <v>720</v>
      </c>
    </row>
    <row r="18" spans="2:5" x14ac:dyDescent="0.3">
      <c r="B18" s="10" t="s">
        <v>45</v>
      </c>
      <c r="C18" s="8"/>
      <c r="D18" s="7">
        <f>SUM(D14:D17)</f>
        <v>190</v>
      </c>
      <c r="E18" s="7">
        <f>SUM(E14:E17)</f>
        <v>2280</v>
      </c>
    </row>
    <row r="19" spans="2:5" x14ac:dyDescent="0.3">
      <c r="B19" s="17"/>
      <c r="C19" s="18"/>
      <c r="D19" s="19"/>
      <c r="E19" s="9"/>
    </row>
    <row r="20" spans="2:5" x14ac:dyDescent="0.3">
      <c r="B20" s="10" t="s">
        <v>46</v>
      </c>
      <c r="C20" s="8"/>
      <c r="D20" s="7"/>
      <c r="E20" s="7"/>
    </row>
    <row r="21" spans="2:5" x14ac:dyDescent="0.3">
      <c r="B21" s="2" t="s">
        <v>47</v>
      </c>
      <c r="C21" s="2" t="s">
        <v>48</v>
      </c>
      <c r="D21" s="3">
        <v>50</v>
      </c>
      <c r="E21" s="3">
        <f>D21*12</f>
        <v>600</v>
      </c>
    </row>
    <row r="22" spans="2:5" x14ac:dyDescent="0.3">
      <c r="B22" s="2" t="s">
        <v>52</v>
      </c>
      <c r="C22" s="2" t="s">
        <v>43</v>
      </c>
      <c r="D22" s="3">
        <v>25</v>
      </c>
      <c r="E22" s="3">
        <f t="shared" ref="E22:E24" si="2">D22*12</f>
        <v>300</v>
      </c>
    </row>
    <row r="23" spans="2:5" x14ac:dyDescent="0.3">
      <c r="B23" s="2" t="s">
        <v>49</v>
      </c>
      <c r="C23" s="2" t="s">
        <v>50</v>
      </c>
      <c r="D23" s="3">
        <v>50</v>
      </c>
      <c r="E23" s="3">
        <f t="shared" si="2"/>
        <v>600</v>
      </c>
    </row>
    <row r="24" spans="2:5" x14ac:dyDescent="0.3">
      <c r="B24" s="2" t="s">
        <v>51</v>
      </c>
      <c r="C24" s="2" t="s">
        <v>44</v>
      </c>
      <c r="D24" s="3">
        <v>15</v>
      </c>
      <c r="E24" s="3">
        <f t="shared" si="2"/>
        <v>180</v>
      </c>
    </row>
    <row r="25" spans="2:5" x14ac:dyDescent="0.3">
      <c r="B25" s="10"/>
      <c r="C25" s="8"/>
      <c r="D25" s="7">
        <f>SUM(D21:D24)</f>
        <v>140</v>
      </c>
      <c r="E25" s="7">
        <f>SUM(E21:E24)</f>
        <v>1680</v>
      </c>
    </row>
    <row r="26" spans="2:5" ht="15" thickBot="1" x14ac:dyDescent="0.35">
      <c r="B26" s="23"/>
      <c r="C26" s="24"/>
      <c r="D26" s="24"/>
      <c r="E26" s="25"/>
    </row>
    <row r="27" spans="2:5" ht="15" thickBot="1" x14ac:dyDescent="0.35">
      <c r="B27" s="4" t="s">
        <v>2</v>
      </c>
      <c r="C27" s="5"/>
      <c r="D27" s="34">
        <f>D9+D18+D25+(D11/12)</f>
        <v>517</v>
      </c>
      <c r="E27" s="35">
        <f>E9+E11+E18+E25</f>
        <v>6204</v>
      </c>
    </row>
    <row r="28" spans="2:5" ht="15" thickBot="1" x14ac:dyDescent="0.35"/>
    <row r="29" spans="2:5" ht="15" thickBot="1" x14ac:dyDescent="0.35">
      <c r="B29" s="28" t="s">
        <v>3</v>
      </c>
      <c r="C29" s="29"/>
      <c r="D29" s="29"/>
      <c r="E29" s="30"/>
    </row>
    <row r="30" spans="2:5" x14ac:dyDescent="0.3">
      <c r="B30" s="32" t="s">
        <v>56</v>
      </c>
      <c r="C30" s="15" t="s">
        <v>57</v>
      </c>
      <c r="D30" s="33">
        <v>500</v>
      </c>
      <c r="E30" s="33">
        <f t="shared" ref="E30:E33" si="3">D30*12</f>
        <v>6000</v>
      </c>
    </row>
    <row r="31" spans="2:5" x14ac:dyDescent="0.3">
      <c r="B31" s="31" t="s">
        <v>58</v>
      </c>
      <c r="C31" s="2" t="s">
        <v>59</v>
      </c>
      <c r="D31" s="3">
        <v>300</v>
      </c>
      <c r="E31" s="3">
        <f t="shared" si="3"/>
        <v>3600</v>
      </c>
    </row>
    <row r="32" spans="2:5" x14ac:dyDescent="0.3">
      <c r="B32" s="31" t="s">
        <v>60</v>
      </c>
      <c r="C32" s="2" t="s">
        <v>59</v>
      </c>
      <c r="D32" s="3">
        <v>200</v>
      </c>
      <c r="E32" s="3">
        <f t="shared" si="3"/>
        <v>2400</v>
      </c>
    </row>
    <row r="33" spans="2:5" x14ac:dyDescent="0.3">
      <c r="B33" s="31" t="s">
        <v>61</v>
      </c>
      <c r="C33" s="2" t="s">
        <v>62</v>
      </c>
      <c r="D33" s="3">
        <v>100</v>
      </c>
      <c r="E33" s="3">
        <f t="shared" si="3"/>
        <v>1200</v>
      </c>
    </row>
    <row r="34" spans="2:5" x14ac:dyDescent="0.3">
      <c r="B34" s="6"/>
      <c r="C34" s="6"/>
      <c r="D34" s="36">
        <f>SUM(D30:D33)</f>
        <v>1100</v>
      </c>
      <c r="E34" s="36">
        <f>SUM(E30:E33)</f>
        <v>13200</v>
      </c>
    </row>
    <row r="35" spans="2:5" ht="15" thickBot="1" x14ac:dyDescent="0.35">
      <c r="B35" s="26"/>
      <c r="C35" s="26"/>
      <c r="D35" s="27"/>
      <c r="E35" s="16"/>
    </row>
    <row r="36" spans="2:5" ht="15" thickBot="1" x14ac:dyDescent="0.35">
      <c r="B36" s="4" t="s">
        <v>63</v>
      </c>
      <c r="C36" s="5"/>
      <c r="D36" s="34">
        <f>D34-D27</f>
        <v>583</v>
      </c>
      <c r="E36" s="35">
        <f>E34-E27</f>
        <v>6996</v>
      </c>
    </row>
  </sheetData>
  <mergeCells count="5">
    <mergeCell ref="B19:D19"/>
    <mergeCell ref="B12:D12"/>
    <mergeCell ref="B10:E10"/>
    <mergeCell ref="B26:E26"/>
    <mergeCell ref="B29:E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0ADD-EF03-4D4F-8EAC-8F6A96992065}">
  <dimension ref="C7:G21"/>
  <sheetViews>
    <sheetView workbookViewId="0">
      <selection activeCell="E14" sqref="E14"/>
    </sheetView>
  </sheetViews>
  <sheetFormatPr defaultRowHeight="14.4" x14ac:dyDescent="0.3"/>
  <cols>
    <col min="3" max="3" width="32.77734375" customWidth="1"/>
    <col min="4" max="4" width="17" customWidth="1"/>
    <col min="5" max="5" width="23.44140625" bestFit="1" customWidth="1"/>
    <col min="6" max="6" width="14.44140625" bestFit="1" customWidth="1"/>
  </cols>
  <sheetData>
    <row r="7" spans="3:7" ht="15.6" x14ac:dyDescent="0.3">
      <c r="C7" s="12" t="s">
        <v>13</v>
      </c>
    </row>
    <row r="8" spans="3:7" x14ac:dyDescent="0.3">
      <c r="C8" s="2" t="s">
        <v>14</v>
      </c>
      <c r="D8" s="2" t="s">
        <v>15</v>
      </c>
      <c r="E8" s="2" t="s">
        <v>22</v>
      </c>
      <c r="F8" s="2" t="s">
        <v>35</v>
      </c>
      <c r="G8" s="2" t="s">
        <v>36</v>
      </c>
    </row>
    <row r="9" spans="3:7" x14ac:dyDescent="0.3">
      <c r="C9" s="2" t="s">
        <v>16</v>
      </c>
      <c r="D9" s="2" t="s">
        <v>17</v>
      </c>
      <c r="E9" s="3">
        <v>20</v>
      </c>
      <c r="F9" s="15">
        <f>10+10+10+8</f>
        <v>38</v>
      </c>
      <c r="G9" s="3">
        <f>E9*F9</f>
        <v>760</v>
      </c>
    </row>
    <row r="10" spans="3:7" x14ac:dyDescent="0.3">
      <c r="C10" s="2" t="s">
        <v>18</v>
      </c>
      <c r="D10" s="2" t="s">
        <v>19</v>
      </c>
      <c r="E10" s="3">
        <v>25</v>
      </c>
      <c r="F10" s="2">
        <v>20</v>
      </c>
      <c r="G10" s="3">
        <f>E10*F10</f>
        <v>500</v>
      </c>
    </row>
    <row r="11" spans="3:7" x14ac:dyDescent="0.3">
      <c r="C11" s="2" t="s">
        <v>20</v>
      </c>
      <c r="D11" s="2" t="s">
        <v>21</v>
      </c>
      <c r="E11" s="3">
        <v>20</v>
      </c>
      <c r="F11" s="2">
        <v>15</v>
      </c>
      <c r="G11" s="3">
        <f>E11*F11</f>
        <v>300</v>
      </c>
    </row>
    <row r="12" spans="3:7" x14ac:dyDescent="0.3">
      <c r="F12" s="2">
        <f>SUM(F9:F11)</f>
        <v>73</v>
      </c>
      <c r="G12" s="3">
        <f>SUM(G9:G11)</f>
        <v>1560</v>
      </c>
    </row>
    <row r="14" spans="3:7" ht="15.6" x14ac:dyDescent="0.3">
      <c r="C14" s="13" t="s">
        <v>35</v>
      </c>
    </row>
    <row r="15" spans="3:7" x14ac:dyDescent="0.3">
      <c r="C15" s="2" t="s">
        <v>23</v>
      </c>
      <c r="D15" s="2" t="s">
        <v>24</v>
      </c>
    </row>
    <row r="16" spans="3:7" x14ac:dyDescent="0.3">
      <c r="C16" s="2" t="s">
        <v>25</v>
      </c>
      <c r="D16" s="2" t="s">
        <v>26</v>
      </c>
    </row>
    <row r="17" spans="3:4" x14ac:dyDescent="0.3">
      <c r="C17" s="2" t="s">
        <v>27</v>
      </c>
      <c r="D17" s="2" t="s">
        <v>28</v>
      </c>
    </row>
    <row r="18" spans="3:4" x14ac:dyDescent="0.3">
      <c r="C18" s="2" t="s">
        <v>29</v>
      </c>
      <c r="D18" s="2" t="s">
        <v>30</v>
      </c>
    </row>
    <row r="19" spans="3:4" x14ac:dyDescent="0.3">
      <c r="C19" s="2" t="s">
        <v>31</v>
      </c>
      <c r="D19" s="14">
        <v>10</v>
      </c>
    </row>
    <row r="20" spans="3:4" x14ac:dyDescent="0.3">
      <c r="C20" s="2" t="s">
        <v>32</v>
      </c>
      <c r="D20" s="14">
        <v>10</v>
      </c>
    </row>
    <row r="21" spans="3:4" x14ac:dyDescent="0.3">
      <c r="C21" s="2" t="s">
        <v>33</v>
      </c>
      <c r="D2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Summary</vt:lpstr>
      <vt:lpstr>Development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 Shah</dc:creator>
  <cp:lastModifiedBy>Anees Shah</cp:lastModifiedBy>
  <dcterms:created xsi:type="dcterms:W3CDTF">2015-06-05T18:17:20Z</dcterms:created>
  <dcterms:modified xsi:type="dcterms:W3CDTF">2025-12-10T18:36:50Z</dcterms:modified>
</cp:coreProperties>
</file>